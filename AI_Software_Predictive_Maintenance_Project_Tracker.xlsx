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6bb5f5a7c7a6ed5/Desktop/AI-Software-Predictive-Maintenance/"/>
    </mc:Choice>
  </mc:AlternateContent>
  <xr:revisionPtr revIDLastSave="12" documentId="11_284328C7DD447B9FC6FBBB133BAA9D2CF1664A9A" xr6:coauthVersionLast="47" xr6:coauthVersionMax="47" xr10:uidLastSave="{5774C074-903A-421D-AF5E-0E4F8A281480}"/>
  <bookViews>
    <workbookView xWindow="-98" yWindow="-98" windowWidth="21795" windowHeight="12975" xr2:uid="{00000000-000D-0000-FFFF-FFFF00000000}"/>
  </bookViews>
  <sheets>
    <sheet name="Project Tracker" sheetId="1" r:id="rId1"/>
    <sheet name="Progress" sheetId="2" r:id="rId2"/>
  </sheets>
  <definedNames>
    <definedName name="_xlnm._FilterDatabase" localSheetId="0" hidden="1">'Project Tracker'!$A$1:$J$35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  <c r="B5" i="2"/>
  <c r="B4" i="2"/>
  <c r="B3" i="2"/>
  <c r="B7" i="2" l="1"/>
</calcChain>
</file>

<file path=xl/sharedStrings.xml><?xml version="1.0" encoding="utf-8"?>
<sst xmlns="http://schemas.openxmlformats.org/spreadsheetml/2006/main" count="225" uniqueCount="124">
  <si>
    <t>Day</t>
  </si>
  <si>
    <t>Date</t>
  </si>
  <si>
    <t>Week</t>
  </si>
  <si>
    <t>Phase</t>
  </si>
  <si>
    <t>Task</t>
  </si>
  <si>
    <t>What to Complete</t>
  </si>
  <si>
    <t>Hours</t>
  </si>
  <si>
    <t>Status</t>
  </si>
  <si>
    <t>GitHub Commit?</t>
  </si>
  <si>
    <t>Notes</t>
  </si>
  <si>
    <t>Week 1</t>
  </si>
  <si>
    <t>Dataset Validation</t>
  </si>
  <si>
    <t>Check duplicates, impossible/negative values, target correctness</t>
  </si>
  <si>
    <t>Check duplicate commits, impossible/negative values, target correctness, and row-level sanity.</t>
  </si>
  <si>
    <t>In Progress</t>
  </si>
  <si>
    <t>No</t>
  </si>
  <si>
    <t>Temporal Validation</t>
  </si>
  <si>
    <t>Validate chronological ordering and previous_fault_count for leakage</t>
  </si>
  <si>
    <t>Verify chronological ordering and that historical features never use future information.</t>
  </si>
  <si>
    <t>Not Started</t>
  </si>
  <si>
    <t>Feature Analysis</t>
  </si>
  <si>
    <t>Inspect distributions, outliers, and suspicious feature values</t>
  </si>
  <si>
    <t>Inspect distributions, outliers, skew, zero values, and suspicious feature ranges.</t>
  </si>
  <si>
    <t>Baseline Dataset</t>
  </si>
  <si>
    <t>Finalize the clean V1 baseline dataset</t>
  </si>
  <si>
    <t>Freeze the validated baseline feature schema and create the research-ready dataset.</t>
  </si>
  <si>
    <t>Train/Test Strategy</t>
  </si>
  <si>
    <t>Design time-aware/project-aware split and leakage safeguards</t>
  </si>
  <si>
    <t>Use time-aware/project-aware evaluation; define train/validation/test boundaries.</t>
  </si>
  <si>
    <t>Preprocessing</t>
  </si>
  <si>
    <t>Build reproducible preprocessing pipeline</t>
  </si>
  <si>
    <t>Create reproducible preprocessing for numeric/categorical features and imbalance handling.</t>
  </si>
  <si>
    <t>Milestone 1</t>
  </si>
  <si>
    <t>Baseline dataset ready; document methodology and commit to GitHub</t>
  </si>
  <si>
    <t>Document baseline dataset methodology and push milestone to GitHub.</t>
  </si>
  <si>
    <t>Yes</t>
  </si>
  <si>
    <t>Week 2</t>
  </si>
  <si>
    <t>Baseline ML</t>
  </si>
  <si>
    <t>Train Logistic Regression baseline</t>
  </si>
  <si>
    <t>Train a simple interpretable baseline.</t>
  </si>
  <si>
    <t>Train Random Forest</t>
  </si>
  <si>
    <t>Train Random Forest and record metrics.</t>
  </si>
  <si>
    <t>Train XGBoost</t>
  </si>
  <si>
    <t>Train XGBoost and record metrics.</t>
  </si>
  <si>
    <t>Evaluation</t>
  </si>
  <si>
    <t>Evaluate precision, recall, F1, ROC-AUC, PR-AUC, confusion matrix</t>
  </si>
  <si>
    <t>Use precision, recall, F1, ROC-AUC, PR-AUC and confusion matrix; don't rely on accuracy.</t>
  </si>
  <si>
    <t>Class Imbalance</t>
  </si>
  <si>
    <t>Handle imbalance only within training data and compare results</t>
  </si>
  <si>
    <t>Compare class weighting/resampling while preventing leakage.</t>
  </si>
  <si>
    <t>Baseline Analysis</t>
  </si>
  <si>
    <t>Compare models and perform error analysis</t>
  </si>
  <si>
    <t>Compare models and inspect false positives/false negatives.</t>
  </si>
  <si>
    <t>Milestone 2</t>
  </si>
  <si>
    <t>Finalize baseline model/results and commit to GitHub</t>
  </si>
  <si>
    <t>Freeze baseline experiment and push code/results documentation.</t>
  </si>
  <si>
    <t>Week 3</t>
  </si>
  <si>
    <t>Refactoring</t>
  </si>
  <si>
    <t>Build refactoring-enhanced feature dataset</t>
  </si>
  <si>
    <t>Add has_refactoring, count and type-count features.</t>
  </si>
  <si>
    <t>Train and evaluate Model 2</t>
  </si>
  <si>
    <t>Train/evaluate refactoring-enhanced model.</t>
  </si>
  <si>
    <t>Comparison</t>
  </si>
  <si>
    <t>Measure improvement over baseline</t>
  </si>
  <si>
    <t>Quantify improvement over baseline.</t>
  </si>
  <si>
    <t>Sonar</t>
  </si>
  <si>
    <t>Build temporally aligned Sonar quality/technical-debt features</t>
  </si>
  <si>
    <t>Align Sonar measurements to information available before each prediction commit.</t>
  </si>
  <si>
    <t>Train and evaluate Model 3</t>
  </si>
  <si>
    <t>Train/evaluate quality + technical-debt enhanced model.</t>
  </si>
  <si>
    <t>Research Analysis</t>
  </si>
  <si>
    <t>Compare all models and analyze whether added features help</t>
  </si>
  <si>
    <t>Answer whether progressively adding features improves prediction.</t>
  </si>
  <si>
    <t>Document findings, limitations, and research implications</t>
  </si>
  <si>
    <t>Record research findings, limitations, and implications.</t>
  </si>
  <si>
    <t>Week 4</t>
  </si>
  <si>
    <t>Milestone 3</t>
  </si>
  <si>
    <t>Finalize experiments and commit results/code to GitHub</t>
  </si>
  <si>
    <t>Freeze experimental results and push milestone.</t>
  </si>
  <si>
    <t>Explainability</t>
  </si>
  <si>
    <t>Implement SHAP</t>
  </si>
  <si>
    <t>Implement SHAP on final model.</t>
  </si>
  <si>
    <t>Analyze global and individual feature importance</t>
  </si>
  <si>
    <t>Identify global and per-commit risk drivers.</t>
  </si>
  <si>
    <t>Generate human-readable risk explanations</t>
  </si>
  <si>
    <t>Turn model explanations into understandable risk reasons.</t>
  </si>
  <si>
    <t>Real-World Pipeline</t>
  </si>
  <si>
    <t>Build prediction pipeline for an unseen/new commit</t>
  </si>
  <si>
    <t>Accept a new/unseen commit and produce a risk score.</t>
  </si>
  <si>
    <t>Real-World Testing</t>
  </si>
  <si>
    <t>Test on an unseen repository/time period</t>
  </si>
  <si>
    <t>Evaluate generalization on an unseen repository or future time period.</t>
  </si>
  <si>
    <t>Recommendations</t>
  </si>
  <si>
    <t>Generate actionable predictive-maintenance recommendations</t>
  </si>
  <si>
    <t>Translate risk factors into actionable maintenance suggestions.</t>
  </si>
  <si>
    <t>Week 5</t>
  </si>
  <si>
    <t>Final Integration</t>
  </si>
  <si>
    <t>Integrate prediction + explanation + recommendation pipeline</t>
  </si>
  <si>
    <t>Connect prediction, explanation and recommendation components.</t>
  </si>
  <si>
    <t>GitHub &amp; Docs</t>
  </si>
  <si>
    <t>Polish README, architecture, methodology, setup and experiment documentation</t>
  </si>
  <si>
    <t>Polish README, architecture, setup, methodology and experiment documentation.</t>
  </si>
  <si>
    <t>Final Review</t>
  </si>
  <si>
    <t>Review reproducibility, leakage, metrics, limitations and claims</t>
  </si>
  <si>
    <t>Final audit for leakage, reproducibility, metrics, limitations and overclaiming.</t>
  </si>
  <si>
    <t>Final GitHub</t>
  </si>
  <si>
    <t>Final cleanup and final meaningful commit</t>
  </si>
  <si>
    <t>Final GitHub cleanup and meaningful final commit.</t>
  </si>
  <si>
    <t>Buffer</t>
  </si>
  <si>
    <t>Fix unexpected issues / rerun experiments</t>
  </si>
  <si>
    <t>Use only if needed for unexpected technical/research issues.</t>
  </si>
  <si>
    <t>Final paper/report preparation and presentation notes</t>
  </si>
  <si>
    <t>Prepare final paper/report and presentation explanation.</t>
  </si>
  <si>
    <t>AI-Assisted Software Evolution &amp; Predictive Maintenance</t>
  </si>
  <si>
    <t>Total tasks</t>
  </si>
  <si>
    <t>Completed</t>
  </si>
  <si>
    <t>Blocked</t>
  </si>
  <si>
    <t>Overall completion</t>
  </si>
  <si>
    <t>Current milestone</t>
  </si>
  <si>
    <t>Dataset validation</t>
  </si>
  <si>
    <t>Important</t>
  </si>
  <si>
    <t>Commit meaningful milestones to GitHub regularly. Never upload td_V2.db or generated datasets.</t>
  </si>
  <si>
    <t>V1.1 dataset validated: 153,994 commits, 0 duplicates, 0 missing values, target distribution verified.
Extreme feature values identified; will be investigated during feature/outlier analysis before modeling.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</si>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</sst>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2" fillId="0" borderId="0" xfId="0" applyFont="1"/>
    <xf numFmtId="9" fontId="0" fillId="0" borderId="0" xfId="0" applyNumberFormat="1"/>
    <xf numFmtId="0" fontId="0" fillId="0" borderId="0" xfId="0" applyAlignment="1">
      <alignment wrapText="1"/>
    </xf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tabSelected="1" topLeftCell="D1" workbookViewId="0">
      <pane ySplit="1" topLeftCell="A2" activePane="bottomLeft" state="frozen"/>
      <selection pane="bottomLeft" activeCell="J6" sqref="J6"/>
    </sheetView>
  </sheetViews>
  <sheetFormatPr defaultRowHeight="14.25" x14ac:dyDescent="0.45"/>
  <cols>
    <col min="1" max="1" width="8" customWidth="1"/>
    <col min="2" max="2" width="14" customWidth="1"/>
    <col min="3" max="3" width="10" customWidth="1"/>
    <col min="4" max="4" width="22" customWidth="1"/>
    <col min="5" max="5" width="28" customWidth="1"/>
    <col min="6" max="6" width="65" customWidth="1"/>
    <col min="7" max="7" width="10" customWidth="1"/>
    <col min="8" max="9" width="16" customWidth="1"/>
    <col min="10" max="10" width="35" customWidth="1"/>
  </cols>
  <sheetData>
    <row r="1" spans="1:10" ht="28.0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85.5" x14ac:dyDescent="0.45">
      <c r="A2" s="2">
        <v>1</v>
      </c>
      <c r="B2" s="3">
        <v>46257</v>
      </c>
      <c r="C2" s="2" t="s">
        <v>10</v>
      </c>
      <c r="D2" s="2" t="s">
        <v>11</v>
      </c>
      <c r="E2" s="2" t="s">
        <v>12</v>
      </c>
      <c r="F2" s="2" t="s">
        <v>13</v>
      </c>
      <c r="G2" s="2">
        <v>1.5</v>
      </c>
      <c r="H2" s="2" t="s">
        <v>123</v>
      </c>
      <c r="I2" s="7" t="s">
        <v>35</v>
      </c>
      <c r="J2" s="2" t="s">
        <v>122</v>
      </c>
    </row>
    <row r="3" spans="1:10" ht="42.75" x14ac:dyDescent="0.45">
      <c r="A3" s="2">
        <v>2</v>
      </c>
      <c r="B3" s="3">
        <v>46258</v>
      </c>
      <c r="C3" s="2" t="s">
        <v>10</v>
      </c>
      <c r="D3" s="2" t="s">
        <v>16</v>
      </c>
      <c r="E3" s="2" t="s">
        <v>17</v>
      </c>
      <c r="F3" s="2" t="s">
        <v>18</v>
      </c>
      <c r="G3" s="2">
        <v>1.5</v>
      </c>
      <c r="H3" s="2" t="s">
        <v>123</v>
      </c>
      <c r="I3" s="7" t="s">
        <v>35</v>
      </c>
      <c r="J3" s="2"/>
    </row>
    <row r="4" spans="1:10" ht="28.5" x14ac:dyDescent="0.45">
      <c r="A4" s="2">
        <v>3</v>
      </c>
      <c r="B4" s="3">
        <v>46259</v>
      </c>
      <c r="C4" s="2" t="s">
        <v>10</v>
      </c>
      <c r="D4" s="2" t="s">
        <v>20</v>
      </c>
      <c r="E4" s="2" t="s">
        <v>21</v>
      </c>
      <c r="F4" s="2" t="s">
        <v>22</v>
      </c>
      <c r="G4" s="2">
        <v>1.5</v>
      </c>
      <c r="H4" s="2" t="s">
        <v>123</v>
      </c>
      <c r="I4" s="7" t="s">
        <v>35</v>
      </c>
      <c r="J4" s="2"/>
    </row>
    <row r="5" spans="1:10" ht="28.5" x14ac:dyDescent="0.45">
      <c r="A5" s="2">
        <v>4</v>
      </c>
      <c r="B5" s="3">
        <v>46260</v>
      </c>
      <c r="C5" s="2" t="s">
        <v>10</v>
      </c>
      <c r="D5" s="2" t="s">
        <v>23</v>
      </c>
      <c r="E5" s="2" t="s">
        <v>24</v>
      </c>
      <c r="F5" s="2" t="s">
        <v>25</v>
      </c>
      <c r="G5" s="2">
        <v>1.5</v>
      </c>
      <c r="H5" s="2" t="s">
        <v>19</v>
      </c>
      <c r="I5" s="2" t="s">
        <v>15</v>
      </c>
      <c r="J5" s="2"/>
    </row>
    <row r="6" spans="1:10" ht="28.5" x14ac:dyDescent="0.45">
      <c r="A6" s="2">
        <v>5</v>
      </c>
      <c r="B6" s="3">
        <v>46261</v>
      </c>
      <c r="C6" s="2" t="s">
        <v>10</v>
      </c>
      <c r="D6" s="2" t="s">
        <v>26</v>
      </c>
      <c r="E6" s="2" t="s">
        <v>27</v>
      </c>
      <c r="F6" s="2" t="s">
        <v>28</v>
      </c>
      <c r="G6" s="2">
        <v>1.5</v>
      </c>
      <c r="H6" s="2" t="s">
        <v>19</v>
      </c>
      <c r="I6" s="2" t="s">
        <v>15</v>
      </c>
      <c r="J6" s="2"/>
    </row>
    <row r="7" spans="1:10" ht="28.5" x14ac:dyDescent="0.45">
      <c r="A7" s="2">
        <v>6</v>
      </c>
      <c r="B7" s="3">
        <v>46262</v>
      </c>
      <c r="C7" s="2" t="s">
        <v>10</v>
      </c>
      <c r="D7" s="2" t="s">
        <v>29</v>
      </c>
      <c r="E7" s="2" t="s">
        <v>30</v>
      </c>
      <c r="F7" s="2" t="s">
        <v>31</v>
      </c>
      <c r="G7" s="2">
        <v>1.5</v>
      </c>
      <c r="H7" s="2" t="s">
        <v>19</v>
      </c>
      <c r="I7" s="2" t="s">
        <v>15</v>
      </c>
      <c r="J7" s="2"/>
    </row>
    <row r="8" spans="1:10" ht="42.75" x14ac:dyDescent="0.45">
      <c r="A8" s="2">
        <v>7</v>
      </c>
      <c r="B8" s="3">
        <v>46263</v>
      </c>
      <c r="C8" s="2" t="s">
        <v>10</v>
      </c>
      <c r="D8" s="2" t="s">
        <v>32</v>
      </c>
      <c r="E8" s="2" t="s">
        <v>33</v>
      </c>
      <c r="F8" s="2" t="s">
        <v>34</v>
      </c>
      <c r="G8" s="2">
        <v>2</v>
      </c>
      <c r="H8" s="2" t="s">
        <v>19</v>
      </c>
      <c r="I8" s="2" t="s">
        <v>35</v>
      </c>
      <c r="J8" s="2"/>
    </row>
    <row r="9" spans="1:10" x14ac:dyDescent="0.45">
      <c r="A9" s="2">
        <v>8</v>
      </c>
      <c r="B9" s="3">
        <v>46264</v>
      </c>
      <c r="C9" s="2" t="s">
        <v>36</v>
      </c>
      <c r="D9" s="2" t="s">
        <v>37</v>
      </c>
      <c r="E9" s="2" t="s">
        <v>38</v>
      </c>
      <c r="F9" s="2" t="s">
        <v>39</v>
      </c>
      <c r="G9" s="2">
        <v>1.5</v>
      </c>
      <c r="H9" s="2" t="s">
        <v>19</v>
      </c>
      <c r="I9" s="2" t="s">
        <v>15</v>
      </c>
      <c r="J9" s="2"/>
    </row>
    <row r="10" spans="1:10" x14ac:dyDescent="0.45">
      <c r="A10" s="2">
        <v>9</v>
      </c>
      <c r="B10" s="3">
        <v>46265</v>
      </c>
      <c r="C10" s="2" t="s">
        <v>36</v>
      </c>
      <c r="D10" s="2" t="s">
        <v>37</v>
      </c>
      <c r="E10" s="2" t="s">
        <v>40</v>
      </c>
      <c r="F10" s="2" t="s">
        <v>41</v>
      </c>
      <c r="G10" s="2">
        <v>1.5</v>
      </c>
      <c r="H10" s="2" t="s">
        <v>19</v>
      </c>
      <c r="I10" s="2" t="s">
        <v>15</v>
      </c>
      <c r="J10" s="2"/>
    </row>
    <row r="11" spans="1:10" x14ac:dyDescent="0.45">
      <c r="A11" s="2">
        <v>10</v>
      </c>
      <c r="B11" s="3">
        <v>46266</v>
      </c>
      <c r="C11" s="2" t="s">
        <v>36</v>
      </c>
      <c r="D11" s="2" t="s">
        <v>37</v>
      </c>
      <c r="E11" s="2" t="s">
        <v>42</v>
      </c>
      <c r="F11" s="2" t="s">
        <v>43</v>
      </c>
      <c r="G11" s="2">
        <v>1.5</v>
      </c>
      <c r="H11" s="2" t="s">
        <v>19</v>
      </c>
      <c r="I11" s="2" t="s">
        <v>15</v>
      </c>
      <c r="J11" s="2"/>
    </row>
    <row r="12" spans="1:10" ht="28.5" x14ac:dyDescent="0.45">
      <c r="A12" s="2">
        <v>11</v>
      </c>
      <c r="B12" s="3">
        <v>46267</v>
      </c>
      <c r="C12" s="2" t="s">
        <v>36</v>
      </c>
      <c r="D12" s="2" t="s">
        <v>44</v>
      </c>
      <c r="E12" s="2" t="s">
        <v>45</v>
      </c>
      <c r="F12" s="2" t="s">
        <v>46</v>
      </c>
      <c r="G12" s="2">
        <v>2</v>
      </c>
      <c r="H12" s="2" t="s">
        <v>19</v>
      </c>
      <c r="I12" s="2" t="s">
        <v>15</v>
      </c>
      <c r="J12" s="2"/>
    </row>
    <row r="13" spans="1:10" ht="28.5" x14ac:dyDescent="0.45">
      <c r="A13" s="2">
        <v>12</v>
      </c>
      <c r="B13" s="3">
        <v>46268</v>
      </c>
      <c r="C13" s="2" t="s">
        <v>36</v>
      </c>
      <c r="D13" s="2" t="s">
        <v>47</v>
      </c>
      <c r="E13" s="2" t="s">
        <v>48</v>
      </c>
      <c r="F13" s="2" t="s">
        <v>49</v>
      </c>
      <c r="G13" s="2">
        <v>1.5</v>
      </c>
      <c r="H13" s="2" t="s">
        <v>19</v>
      </c>
      <c r="I13" s="2" t="s">
        <v>15</v>
      </c>
      <c r="J13" s="2"/>
    </row>
    <row r="14" spans="1:10" ht="28.5" x14ac:dyDescent="0.45">
      <c r="A14" s="2">
        <v>13</v>
      </c>
      <c r="B14" s="3">
        <v>46269</v>
      </c>
      <c r="C14" s="2" t="s">
        <v>36</v>
      </c>
      <c r="D14" s="2" t="s">
        <v>50</v>
      </c>
      <c r="E14" s="2" t="s">
        <v>51</v>
      </c>
      <c r="F14" s="2" t="s">
        <v>52</v>
      </c>
      <c r="G14" s="2">
        <v>2</v>
      </c>
      <c r="H14" s="2" t="s">
        <v>19</v>
      </c>
      <c r="I14" s="2" t="s">
        <v>15</v>
      </c>
      <c r="J14" s="2"/>
    </row>
    <row r="15" spans="1:10" ht="28.5" x14ac:dyDescent="0.45">
      <c r="A15" s="2">
        <v>14</v>
      </c>
      <c r="B15" s="3">
        <v>46270</v>
      </c>
      <c r="C15" s="2" t="s">
        <v>36</v>
      </c>
      <c r="D15" s="2" t="s">
        <v>53</v>
      </c>
      <c r="E15" s="2" t="s">
        <v>54</v>
      </c>
      <c r="F15" s="2" t="s">
        <v>55</v>
      </c>
      <c r="G15" s="2">
        <v>2</v>
      </c>
      <c r="H15" s="2" t="s">
        <v>19</v>
      </c>
      <c r="I15" s="2" t="s">
        <v>35</v>
      </c>
      <c r="J15" s="2"/>
    </row>
    <row r="16" spans="1:10" ht="28.5" x14ac:dyDescent="0.45">
      <c r="A16" s="2">
        <v>15</v>
      </c>
      <c r="B16" s="3">
        <v>46271</v>
      </c>
      <c r="C16" s="2" t="s">
        <v>56</v>
      </c>
      <c r="D16" s="2" t="s">
        <v>57</v>
      </c>
      <c r="E16" s="2" t="s">
        <v>58</v>
      </c>
      <c r="F16" s="2" t="s">
        <v>59</v>
      </c>
      <c r="G16" s="2">
        <v>1.5</v>
      </c>
      <c r="H16" s="2" t="s">
        <v>19</v>
      </c>
      <c r="I16" s="2" t="s">
        <v>15</v>
      </c>
      <c r="J16" s="2"/>
    </row>
    <row r="17" spans="1:10" x14ac:dyDescent="0.45">
      <c r="A17" s="2">
        <v>16</v>
      </c>
      <c r="B17" s="3">
        <v>46272</v>
      </c>
      <c r="C17" s="2" t="s">
        <v>56</v>
      </c>
      <c r="D17" s="2" t="s">
        <v>57</v>
      </c>
      <c r="E17" s="2" t="s">
        <v>60</v>
      </c>
      <c r="F17" s="2" t="s">
        <v>61</v>
      </c>
      <c r="G17" s="2">
        <v>1.5</v>
      </c>
      <c r="H17" s="2" t="s">
        <v>19</v>
      </c>
      <c r="I17" s="2" t="s">
        <v>15</v>
      </c>
      <c r="J17" s="2"/>
    </row>
    <row r="18" spans="1:10" ht="28.5" x14ac:dyDescent="0.45">
      <c r="A18" s="2">
        <v>17</v>
      </c>
      <c r="B18" s="3">
        <v>46273</v>
      </c>
      <c r="C18" s="2" t="s">
        <v>56</v>
      </c>
      <c r="D18" s="2" t="s">
        <v>62</v>
      </c>
      <c r="E18" s="2" t="s">
        <v>63</v>
      </c>
      <c r="F18" s="2" t="s">
        <v>64</v>
      </c>
      <c r="G18" s="2">
        <v>1.5</v>
      </c>
      <c r="H18" s="2" t="s">
        <v>19</v>
      </c>
      <c r="I18" s="2" t="s">
        <v>15</v>
      </c>
      <c r="J18" s="2"/>
    </row>
    <row r="19" spans="1:10" ht="28.5" x14ac:dyDescent="0.45">
      <c r="A19" s="2">
        <v>18</v>
      </c>
      <c r="B19" s="3">
        <v>46274</v>
      </c>
      <c r="C19" s="2" t="s">
        <v>56</v>
      </c>
      <c r="D19" s="2" t="s">
        <v>65</v>
      </c>
      <c r="E19" s="2" t="s">
        <v>66</v>
      </c>
      <c r="F19" s="2" t="s">
        <v>67</v>
      </c>
      <c r="G19" s="2">
        <v>2</v>
      </c>
      <c r="H19" s="2" t="s">
        <v>19</v>
      </c>
      <c r="I19" s="2" t="s">
        <v>15</v>
      </c>
      <c r="J19" s="2"/>
    </row>
    <row r="20" spans="1:10" x14ac:dyDescent="0.45">
      <c r="A20" s="2">
        <v>19</v>
      </c>
      <c r="B20" s="3">
        <v>46275</v>
      </c>
      <c r="C20" s="2" t="s">
        <v>56</v>
      </c>
      <c r="D20" s="2" t="s">
        <v>65</v>
      </c>
      <c r="E20" s="2" t="s">
        <v>68</v>
      </c>
      <c r="F20" s="2" t="s">
        <v>69</v>
      </c>
      <c r="G20" s="2">
        <v>2</v>
      </c>
      <c r="H20" s="2" t="s">
        <v>19</v>
      </c>
      <c r="I20" s="2" t="s">
        <v>15</v>
      </c>
      <c r="J20" s="2"/>
    </row>
    <row r="21" spans="1:10" ht="28.5" x14ac:dyDescent="0.45">
      <c r="A21" s="2">
        <v>20</v>
      </c>
      <c r="B21" s="3">
        <v>46276</v>
      </c>
      <c r="C21" s="2" t="s">
        <v>56</v>
      </c>
      <c r="D21" s="2" t="s">
        <v>70</v>
      </c>
      <c r="E21" s="2" t="s">
        <v>71</v>
      </c>
      <c r="F21" s="2" t="s">
        <v>72</v>
      </c>
      <c r="G21" s="2">
        <v>2</v>
      </c>
      <c r="H21" s="2" t="s">
        <v>19</v>
      </c>
      <c r="I21" s="2" t="s">
        <v>15</v>
      </c>
      <c r="J21" s="2"/>
    </row>
    <row r="22" spans="1:10" ht="28.5" x14ac:dyDescent="0.45">
      <c r="A22" s="2">
        <v>21</v>
      </c>
      <c r="B22" s="3">
        <v>46277</v>
      </c>
      <c r="C22" s="2" t="s">
        <v>56</v>
      </c>
      <c r="D22" s="2" t="s">
        <v>70</v>
      </c>
      <c r="E22" s="2" t="s">
        <v>73</v>
      </c>
      <c r="F22" s="2" t="s">
        <v>74</v>
      </c>
      <c r="G22" s="2">
        <v>1.5</v>
      </c>
      <c r="H22" s="2" t="s">
        <v>19</v>
      </c>
      <c r="I22" s="2" t="s">
        <v>15</v>
      </c>
      <c r="J22" s="2"/>
    </row>
    <row r="23" spans="1:10" ht="28.5" x14ac:dyDescent="0.45">
      <c r="A23" s="2">
        <v>22</v>
      </c>
      <c r="B23" s="3">
        <v>46278</v>
      </c>
      <c r="C23" s="2" t="s">
        <v>75</v>
      </c>
      <c r="D23" s="2" t="s">
        <v>76</v>
      </c>
      <c r="E23" s="2" t="s">
        <v>77</v>
      </c>
      <c r="F23" s="2" t="s">
        <v>78</v>
      </c>
      <c r="G23" s="2">
        <v>2</v>
      </c>
      <c r="H23" s="2" t="s">
        <v>19</v>
      </c>
      <c r="I23" s="2" t="s">
        <v>35</v>
      </c>
      <c r="J23" s="2"/>
    </row>
    <row r="24" spans="1:10" x14ac:dyDescent="0.45">
      <c r="A24" s="2">
        <v>23</v>
      </c>
      <c r="B24" s="3">
        <v>46279</v>
      </c>
      <c r="C24" s="2" t="s">
        <v>75</v>
      </c>
      <c r="D24" s="2" t="s">
        <v>79</v>
      </c>
      <c r="E24" s="2" t="s">
        <v>80</v>
      </c>
      <c r="F24" s="2" t="s">
        <v>81</v>
      </c>
      <c r="G24" s="2">
        <v>1.5</v>
      </c>
      <c r="H24" s="2" t="s">
        <v>19</v>
      </c>
      <c r="I24" s="2" t="s">
        <v>15</v>
      </c>
      <c r="J24" s="2"/>
    </row>
    <row r="25" spans="1:10" ht="28.5" x14ac:dyDescent="0.45">
      <c r="A25" s="2">
        <v>24</v>
      </c>
      <c r="B25" s="3">
        <v>46280</v>
      </c>
      <c r="C25" s="2" t="s">
        <v>75</v>
      </c>
      <c r="D25" s="2" t="s">
        <v>79</v>
      </c>
      <c r="E25" s="2" t="s">
        <v>82</v>
      </c>
      <c r="F25" s="2" t="s">
        <v>83</v>
      </c>
      <c r="G25" s="2">
        <v>1.5</v>
      </c>
      <c r="H25" s="2" t="s">
        <v>19</v>
      </c>
      <c r="I25" s="2" t="s">
        <v>15</v>
      </c>
      <c r="J25" s="2"/>
    </row>
    <row r="26" spans="1:10" ht="28.5" x14ac:dyDescent="0.45">
      <c r="A26" s="2">
        <v>25</v>
      </c>
      <c r="B26" s="3">
        <v>46281</v>
      </c>
      <c r="C26" s="2" t="s">
        <v>75</v>
      </c>
      <c r="D26" s="2" t="s">
        <v>79</v>
      </c>
      <c r="E26" s="2" t="s">
        <v>84</v>
      </c>
      <c r="F26" s="2" t="s">
        <v>85</v>
      </c>
      <c r="G26" s="2">
        <v>1.5</v>
      </c>
      <c r="H26" s="2" t="s">
        <v>19</v>
      </c>
      <c r="I26" s="2" t="s">
        <v>15</v>
      </c>
      <c r="J26" s="2"/>
    </row>
    <row r="27" spans="1:10" ht="28.5" x14ac:dyDescent="0.45">
      <c r="A27" s="2">
        <v>26</v>
      </c>
      <c r="B27" s="3">
        <v>46282</v>
      </c>
      <c r="C27" s="2" t="s">
        <v>75</v>
      </c>
      <c r="D27" s="2" t="s">
        <v>86</v>
      </c>
      <c r="E27" s="2" t="s">
        <v>87</v>
      </c>
      <c r="F27" s="2" t="s">
        <v>88</v>
      </c>
      <c r="G27" s="2">
        <v>2</v>
      </c>
      <c r="H27" s="2" t="s">
        <v>19</v>
      </c>
      <c r="I27" s="2" t="s">
        <v>15</v>
      </c>
      <c r="J27" s="2"/>
    </row>
    <row r="28" spans="1:10" ht="28.5" x14ac:dyDescent="0.45">
      <c r="A28" s="2">
        <v>27</v>
      </c>
      <c r="B28" s="3">
        <v>46283</v>
      </c>
      <c r="C28" s="2" t="s">
        <v>75</v>
      </c>
      <c r="D28" s="2" t="s">
        <v>89</v>
      </c>
      <c r="E28" s="2" t="s">
        <v>90</v>
      </c>
      <c r="F28" s="2" t="s">
        <v>91</v>
      </c>
      <c r="G28" s="2">
        <v>2</v>
      </c>
      <c r="H28" s="2" t="s">
        <v>19</v>
      </c>
      <c r="I28" s="2" t="s">
        <v>15</v>
      </c>
      <c r="J28" s="2"/>
    </row>
    <row r="29" spans="1:10" ht="28.5" x14ac:dyDescent="0.45">
      <c r="A29" s="2">
        <v>28</v>
      </c>
      <c r="B29" s="3">
        <v>46284</v>
      </c>
      <c r="C29" s="2" t="s">
        <v>75</v>
      </c>
      <c r="D29" s="2" t="s">
        <v>92</v>
      </c>
      <c r="E29" s="2" t="s">
        <v>93</v>
      </c>
      <c r="F29" s="2" t="s">
        <v>94</v>
      </c>
      <c r="G29" s="2">
        <v>1.5</v>
      </c>
      <c r="H29" s="2" t="s">
        <v>19</v>
      </c>
      <c r="I29" s="2" t="s">
        <v>15</v>
      </c>
      <c r="J29" s="2"/>
    </row>
    <row r="30" spans="1:10" ht="28.5" x14ac:dyDescent="0.45">
      <c r="A30" s="2">
        <v>29</v>
      </c>
      <c r="B30" s="3">
        <v>46285</v>
      </c>
      <c r="C30" s="2" t="s">
        <v>95</v>
      </c>
      <c r="D30" s="2" t="s">
        <v>96</v>
      </c>
      <c r="E30" s="2" t="s">
        <v>97</v>
      </c>
      <c r="F30" s="2" t="s">
        <v>98</v>
      </c>
      <c r="G30" s="2">
        <v>2</v>
      </c>
      <c r="H30" s="2" t="s">
        <v>19</v>
      </c>
      <c r="I30" s="2" t="s">
        <v>15</v>
      </c>
      <c r="J30" s="2"/>
    </row>
    <row r="31" spans="1:10" ht="42.75" x14ac:dyDescent="0.45">
      <c r="A31" s="2">
        <v>30</v>
      </c>
      <c r="B31" s="3">
        <v>46286</v>
      </c>
      <c r="C31" s="2" t="s">
        <v>95</v>
      </c>
      <c r="D31" s="2" t="s">
        <v>99</v>
      </c>
      <c r="E31" s="2" t="s">
        <v>100</v>
      </c>
      <c r="F31" s="2" t="s">
        <v>101</v>
      </c>
      <c r="G31" s="2">
        <v>2</v>
      </c>
      <c r="H31" s="2" t="s">
        <v>19</v>
      </c>
      <c r="I31" s="2" t="s">
        <v>35</v>
      </c>
      <c r="J31" s="2"/>
    </row>
    <row r="32" spans="1:10" ht="28.5" x14ac:dyDescent="0.45">
      <c r="A32" s="2">
        <v>31</v>
      </c>
      <c r="B32" s="3">
        <v>46287</v>
      </c>
      <c r="C32" s="2" t="s">
        <v>95</v>
      </c>
      <c r="D32" s="2" t="s">
        <v>102</v>
      </c>
      <c r="E32" s="2" t="s">
        <v>103</v>
      </c>
      <c r="F32" s="2" t="s">
        <v>104</v>
      </c>
      <c r="G32" s="2">
        <v>2</v>
      </c>
      <c r="H32" s="2" t="s">
        <v>19</v>
      </c>
      <c r="I32" s="2" t="s">
        <v>15</v>
      </c>
      <c r="J32" s="2"/>
    </row>
    <row r="33" spans="1:10" ht="28.5" x14ac:dyDescent="0.45">
      <c r="A33" s="2">
        <v>32</v>
      </c>
      <c r="B33" s="3">
        <v>46288</v>
      </c>
      <c r="C33" s="2" t="s">
        <v>95</v>
      </c>
      <c r="D33" s="2" t="s">
        <v>105</v>
      </c>
      <c r="E33" s="2" t="s">
        <v>106</v>
      </c>
      <c r="F33" s="2" t="s">
        <v>107</v>
      </c>
      <c r="G33" s="2">
        <v>1.5</v>
      </c>
      <c r="H33" s="2" t="s">
        <v>19</v>
      </c>
      <c r="I33" s="2" t="s">
        <v>35</v>
      </c>
      <c r="J33" s="2"/>
    </row>
    <row r="34" spans="1:10" ht="28.5" x14ac:dyDescent="0.45">
      <c r="A34" s="2">
        <v>33</v>
      </c>
      <c r="B34" s="3">
        <v>46289</v>
      </c>
      <c r="C34" s="2" t="s">
        <v>95</v>
      </c>
      <c r="D34" s="2" t="s">
        <v>108</v>
      </c>
      <c r="E34" s="2" t="s">
        <v>109</v>
      </c>
      <c r="F34" s="2" t="s">
        <v>110</v>
      </c>
      <c r="G34" s="2">
        <v>2</v>
      </c>
      <c r="H34" s="2" t="s">
        <v>19</v>
      </c>
      <c r="I34" s="2" t="s">
        <v>15</v>
      </c>
      <c r="J34" s="2"/>
    </row>
    <row r="35" spans="1:10" ht="28.5" x14ac:dyDescent="0.45">
      <c r="A35" s="2">
        <v>34</v>
      </c>
      <c r="B35" s="3">
        <v>46290</v>
      </c>
      <c r="C35" s="2" t="s">
        <v>95</v>
      </c>
      <c r="D35" s="2" t="s">
        <v>108</v>
      </c>
      <c r="E35" s="2" t="s">
        <v>111</v>
      </c>
      <c r="F35" s="2" t="s">
        <v>112</v>
      </c>
      <c r="G35" s="2">
        <v>2</v>
      </c>
      <c r="H35" s="2" t="s">
        <v>19</v>
      </c>
      <c r="I35" s="2" t="s">
        <v>15</v>
      </c>
      <c r="J35" s="2"/>
    </row>
  </sheetData>
  <autoFilter ref="A1:J35" xr:uid="{00000000-0009-0000-0000-000000000000}"/>
  <dataValidations count="1">
    <dataValidation type="list" sqref="H2:H35" xr:uid="{00000000-0002-0000-0000-000000000000}">
      <formula1>"Not Started,In Progress,Done,Blocked"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4.25" x14ac:dyDescent="0.45"/>
  <cols>
    <col min="1" max="1" width="24" customWidth="1"/>
    <col min="2" max="2" width="90" customWidth="1"/>
  </cols>
  <sheetData>
    <row r="1" spans="1:2" ht="21" x14ac:dyDescent="0.65">
      <c r="A1" s="4" t="s">
        <v>113</v>
      </c>
    </row>
    <row r="3" spans="1:2" x14ac:dyDescent="0.45">
      <c r="A3" t="s">
        <v>114</v>
      </c>
      <c r="B3">
        <f>COUNTA('Project Tracker'!A2:A35)</f>
        <v>34</v>
      </c>
    </row>
    <row r="4" spans="1:2" x14ac:dyDescent="0.45">
      <c r="A4" t="s">
        <v>115</v>
      </c>
      <c r="B4">
        <f>COUNTIF('Project Tracker'!H2:H35,"Done")</f>
        <v>3</v>
      </c>
    </row>
    <row r="5" spans="1:2" x14ac:dyDescent="0.45">
      <c r="A5" t="s">
        <v>14</v>
      </c>
      <c r="B5">
        <f>COUNTIF('Project Tracker'!H2:H35,"In Progress")</f>
        <v>0</v>
      </c>
    </row>
    <row r="6" spans="1:2" x14ac:dyDescent="0.45">
      <c r="A6" t="s">
        <v>116</v>
      </c>
      <c r="B6">
        <f>COUNTIF('Project Tracker'!H2:H35,"Blocked")</f>
        <v>0</v>
      </c>
    </row>
    <row r="7" spans="1:2" x14ac:dyDescent="0.45">
      <c r="A7" t="s">
        <v>117</v>
      </c>
      <c r="B7" s="5">
        <f>IF(B3=0,0,B4/B3)</f>
        <v>8.8235294117647065E-2</v>
      </c>
    </row>
    <row r="9" spans="1:2" x14ac:dyDescent="0.45">
      <c r="A9" t="s">
        <v>118</v>
      </c>
      <c r="B9" t="s">
        <v>119</v>
      </c>
    </row>
    <row r="11" spans="1:2" x14ac:dyDescent="0.45">
      <c r="A11" t="s">
        <v>120</v>
      </c>
      <c r="B11" s="6" t="s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Tracker</vt:lpstr>
      <vt:lpstr>Progress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Shaniya Sheriff</cp:lastModifiedBy>
  <dcterms:created xsi:type="dcterms:W3CDTF">2026-08-23T13:39:51Z</dcterms:created>
  <dcterms:modified xsi:type="dcterms:W3CDTF">2026-08-31T15:13:30Z</dcterms:modified>
</cp:coreProperties>
</file>